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idambaran/Desktop/"/>
    </mc:Choice>
  </mc:AlternateContent>
  <xr:revisionPtr revIDLastSave="0" documentId="13_ncr:1_{459B7926-18A3-CF44-B25E-D132F109E637}" xr6:coauthVersionLast="47" xr6:coauthVersionMax="47" xr10:uidLastSave="{00000000-0000-0000-0000-000000000000}"/>
  <bookViews>
    <workbookView xWindow="1060" yWindow="820" windowWidth="28100" windowHeight="17440" xr2:uid="{8B392808-01E2-034C-A613-C08E1E3FFB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C32" i="1" s="1"/>
  <c r="J32" i="1" s="1"/>
  <c r="C29" i="1"/>
  <c r="J29" i="1" s="1"/>
  <c r="J31" i="1"/>
  <c r="E31" i="1"/>
  <c r="F31" i="1" s="1"/>
  <c r="J30" i="1"/>
  <c r="F30" i="1"/>
  <c r="H30" i="1" s="1"/>
  <c r="E29" i="1"/>
  <c r="F29" i="1" s="1"/>
  <c r="E28" i="1"/>
  <c r="E27" i="1" s="1"/>
  <c r="E21" i="1"/>
  <c r="E22" i="1" s="1"/>
  <c r="E19" i="1"/>
  <c r="E18" i="1" s="1"/>
  <c r="E17" i="1" s="1"/>
  <c r="E16" i="1" s="1"/>
  <c r="J21" i="1"/>
  <c r="J20" i="1"/>
  <c r="J11" i="1"/>
  <c r="F11" i="1"/>
  <c r="G11" i="1" s="1"/>
  <c r="I11" i="1" s="1"/>
  <c r="B12" i="1"/>
  <c r="B13" i="1" s="1"/>
  <c r="B10" i="1"/>
  <c r="J10" i="1" s="1"/>
  <c r="E32" i="1" l="1"/>
  <c r="E33" i="1" s="1"/>
  <c r="F21" i="1"/>
  <c r="H21" i="1" s="1"/>
  <c r="C28" i="1"/>
  <c r="C27" i="1" s="1"/>
  <c r="C33" i="1"/>
  <c r="C26" i="1"/>
  <c r="J26" i="1" s="1"/>
  <c r="J27" i="1"/>
  <c r="J28" i="1"/>
  <c r="F27" i="1"/>
  <c r="E26" i="1"/>
  <c r="F26" i="1" s="1"/>
  <c r="H29" i="1"/>
  <c r="G29" i="1"/>
  <c r="I29" i="1" s="1"/>
  <c r="H31" i="1"/>
  <c r="G31" i="1"/>
  <c r="I31" i="1" s="1"/>
  <c r="F33" i="1"/>
  <c r="E34" i="1"/>
  <c r="F32" i="1"/>
  <c r="F28" i="1"/>
  <c r="G30" i="1"/>
  <c r="I30" i="1" s="1"/>
  <c r="K30" i="1" s="1"/>
  <c r="B14" i="1"/>
  <c r="J13" i="1"/>
  <c r="F13" i="1"/>
  <c r="H13" i="1" s="1"/>
  <c r="E23" i="1"/>
  <c r="E24" i="1" s="1"/>
  <c r="F22" i="1"/>
  <c r="G22" i="1" s="1"/>
  <c r="I22" i="1" s="1"/>
  <c r="F12" i="1"/>
  <c r="H12" i="1" s="1"/>
  <c r="J12" i="1"/>
  <c r="B9" i="1"/>
  <c r="F10" i="1"/>
  <c r="G10" i="1" s="1"/>
  <c r="I10" i="1" s="1"/>
  <c r="F20" i="1"/>
  <c r="J22" i="1"/>
  <c r="G21" i="1"/>
  <c r="I21" i="1" s="1"/>
  <c r="K21" i="1" s="1"/>
  <c r="H11" i="1"/>
  <c r="K11" i="1" s="1"/>
  <c r="G13" i="1" l="1"/>
  <c r="I13" i="1" s="1"/>
  <c r="K13" i="1" s="1"/>
  <c r="H22" i="1"/>
  <c r="C34" i="1"/>
  <c r="J34" i="1" s="1"/>
  <c r="J33" i="1"/>
  <c r="K29" i="1"/>
  <c r="H32" i="1"/>
  <c r="G32" i="1"/>
  <c r="I32" i="1" s="1"/>
  <c r="G26" i="1"/>
  <c r="I26" i="1" s="1"/>
  <c r="H26" i="1"/>
  <c r="H28" i="1"/>
  <c r="G28" i="1"/>
  <c r="I28" i="1" s="1"/>
  <c r="G33" i="1"/>
  <c r="I33" i="1" s="1"/>
  <c r="H33" i="1"/>
  <c r="K31" i="1"/>
  <c r="G27" i="1"/>
  <c r="I27" i="1" s="1"/>
  <c r="H27" i="1"/>
  <c r="B8" i="1"/>
  <c r="F9" i="1"/>
  <c r="J9" i="1"/>
  <c r="H10" i="1"/>
  <c r="K10" i="1" s="1"/>
  <c r="G12" i="1"/>
  <c r="I12" i="1" s="1"/>
  <c r="K12" i="1" s="1"/>
  <c r="J14" i="1"/>
  <c r="F14" i="1"/>
  <c r="J19" i="1"/>
  <c r="F19" i="1"/>
  <c r="F23" i="1"/>
  <c r="J23" i="1"/>
  <c r="H20" i="1"/>
  <c r="G20" i="1"/>
  <c r="I20" i="1" s="1"/>
  <c r="K22" i="1"/>
  <c r="K26" i="1" l="1"/>
  <c r="K32" i="1"/>
  <c r="F34" i="1"/>
  <c r="K28" i="1"/>
  <c r="K33" i="1"/>
  <c r="K27" i="1"/>
  <c r="H14" i="1"/>
  <c r="G14" i="1"/>
  <c r="I14" i="1" s="1"/>
  <c r="H9" i="1"/>
  <c r="G9" i="1"/>
  <c r="I9" i="1" s="1"/>
  <c r="B7" i="1"/>
  <c r="J8" i="1"/>
  <c r="F8" i="1"/>
  <c r="H23" i="1"/>
  <c r="G23" i="1"/>
  <c r="I23" i="1" s="1"/>
  <c r="K20" i="1"/>
  <c r="F24" i="1"/>
  <c r="J24" i="1"/>
  <c r="H19" i="1"/>
  <c r="G19" i="1"/>
  <c r="I19" i="1" s="1"/>
  <c r="J18" i="1"/>
  <c r="F18" i="1"/>
  <c r="K14" i="1" l="1"/>
  <c r="K9" i="1"/>
  <c r="H34" i="1"/>
  <c r="G34" i="1"/>
  <c r="I34" i="1" s="1"/>
  <c r="J7" i="1"/>
  <c r="F7" i="1"/>
  <c r="B6" i="1"/>
  <c r="H8" i="1"/>
  <c r="G8" i="1"/>
  <c r="I8" i="1" s="1"/>
  <c r="K8" i="1" s="1"/>
  <c r="J17" i="1"/>
  <c r="F17" i="1"/>
  <c r="H18" i="1"/>
  <c r="G18" i="1"/>
  <c r="I18" i="1" s="1"/>
  <c r="K19" i="1"/>
  <c r="H24" i="1"/>
  <c r="G24" i="1"/>
  <c r="I24" i="1" s="1"/>
  <c r="K23" i="1"/>
  <c r="K34" i="1" l="1"/>
  <c r="G7" i="1"/>
  <c r="I7" i="1" s="1"/>
  <c r="H7" i="1"/>
  <c r="J6" i="1"/>
  <c r="F6" i="1"/>
  <c r="K18" i="1"/>
  <c r="F16" i="1"/>
  <c r="J16" i="1"/>
  <c r="K24" i="1"/>
  <c r="G17" i="1"/>
  <c r="I17" i="1" s="1"/>
  <c r="H17" i="1"/>
  <c r="K7" i="1" l="1"/>
  <c r="H6" i="1"/>
  <c r="G6" i="1"/>
  <c r="I6" i="1" s="1"/>
  <c r="K6" i="1" s="1"/>
  <c r="K17" i="1"/>
  <c r="G16" i="1"/>
  <c r="I16" i="1" s="1"/>
  <c r="H16" i="1"/>
  <c r="K16" i="1" l="1"/>
</calcChain>
</file>

<file path=xl/sharedStrings.xml><?xml version="1.0" encoding="utf-8"?>
<sst xmlns="http://schemas.openxmlformats.org/spreadsheetml/2006/main" count="12" uniqueCount="12">
  <si>
    <t>Black-Scholes Spreadsheet</t>
  </si>
  <si>
    <t>S</t>
  </si>
  <si>
    <t>K</t>
  </si>
  <si>
    <t>T</t>
  </si>
  <si>
    <t>r</t>
  </si>
  <si>
    <t>Sigma</t>
  </si>
  <si>
    <t>d1</t>
  </si>
  <si>
    <t>d2</t>
  </si>
  <si>
    <t>N(d1)</t>
  </si>
  <si>
    <t>N(D2)</t>
  </si>
  <si>
    <t>C</t>
  </si>
  <si>
    <t>K* Exp(-rT)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</si>
</sst>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6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1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929B5-6F9E-F849-8F51-F111A4CC1FA3}">
  <dimension ref="A1:M34"/>
  <sheetViews>
    <sheetView tabSelected="1" topLeftCell="A8" zoomScale="111" zoomScaleNormal="200" workbookViewId="0">
      <selection activeCell="D25" sqref="D25"/>
    </sheetView>
  </sheetViews>
  <sheetFormatPr baseColWidth="10" defaultRowHeight="19" x14ac:dyDescent="0.25"/>
  <cols>
    <col min="1" max="5" width="10.7109375" style="3"/>
    <col min="11" max="11" width="10.7109375" style="3"/>
  </cols>
  <sheetData>
    <row r="1" spans="1:13" x14ac:dyDescent="0.25">
      <c r="A1" s="3" t="s">
        <v>0</v>
      </c>
    </row>
    <row r="5" spans="1:13" x14ac:dyDescent="0.25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11</v>
      </c>
      <c r="K5" s="4" t="s">
        <v>10</v>
      </c>
    </row>
    <row r="6" spans="1:13" x14ac:dyDescent="0.25">
      <c r="A6" s="3">
        <v>100</v>
      </c>
      <c r="B6" s="3">
        <f>B7-5</f>
        <v>75</v>
      </c>
      <c r="C6" s="3">
        <v>0.25</v>
      </c>
      <c r="D6" s="5">
        <v>0.05</v>
      </c>
      <c r="E6" s="3">
        <v>0.3</v>
      </c>
      <c r="F6">
        <f>(LN(A6/B6)+(D6+0.5*E6^2)*C6)/(E6*SQRT(C6))</f>
        <v>2.0762138163452057</v>
      </c>
      <c r="G6">
        <f>F6-E6*SQRT(C6)</f>
        <v>1.9262138163452058</v>
      </c>
      <c r="H6">
        <f>NORMSDIST(F6)</f>
        <v>0.98106291000245971</v>
      </c>
      <c r="I6">
        <f>NORMSDIST(G6)</f>
        <v>0.97296115932153371</v>
      </c>
      <c r="J6">
        <f>B6*EXP(-D6*C6)</f>
        <v>74.068335037041109</v>
      </c>
      <c r="K6" s="3">
        <f>H6*A6-J6*I6</f>
        <v>26.040677873590681</v>
      </c>
      <c r="M6" s="1"/>
    </row>
    <row r="7" spans="1:13" x14ac:dyDescent="0.25">
      <c r="A7" s="3">
        <v>100</v>
      </c>
      <c r="B7" s="3">
        <f>B8-5</f>
        <v>80</v>
      </c>
      <c r="C7" s="3">
        <v>0.25</v>
      </c>
      <c r="D7" s="5">
        <v>0.05</v>
      </c>
      <c r="E7" s="3">
        <v>0.3</v>
      </c>
      <c r="F7">
        <f t="shared" ref="F7:F14" si="0">(LN(A7/B7)+(D7+0.5*E7^2)*C7)/(E7*SQRT(C7))</f>
        <v>1.6459570087613984</v>
      </c>
      <c r="G7">
        <f t="shared" ref="G7:G14" si="1">F7-E7*SQRT(C7)</f>
        <v>1.4959570087613985</v>
      </c>
      <c r="H7">
        <f t="shared" ref="H7:H14" si="2">NORMSDIST(F7)</f>
        <v>0.95011369476285523</v>
      </c>
      <c r="I7">
        <f t="shared" ref="I7:I14" si="3">NORMSDIST(G7)</f>
        <v>0.93266757064565087</v>
      </c>
      <c r="J7">
        <f t="shared" ref="J7:J14" si="4">B7*EXP(-D7*C7)</f>
        <v>79.006224039510514</v>
      </c>
      <c r="K7" s="3">
        <f t="shared" ref="K7:K14" si="5">H7*A7-J7*I7</f>
        <v>21.324826435469234</v>
      </c>
    </row>
    <row r="8" spans="1:13" x14ac:dyDescent="0.25">
      <c r="A8" s="3">
        <v>100</v>
      </c>
      <c r="B8" s="3">
        <f>B9-5</f>
        <v>85</v>
      </c>
      <c r="C8" s="3">
        <v>0.25</v>
      </c>
      <c r="D8" s="5">
        <v>0.05</v>
      </c>
      <c r="E8" s="3">
        <v>0.3</v>
      </c>
      <c r="F8">
        <f t="shared" si="0"/>
        <v>1.2417928633184996</v>
      </c>
      <c r="G8">
        <f t="shared" si="1"/>
        <v>1.0917928633184997</v>
      </c>
      <c r="H8">
        <f t="shared" si="2"/>
        <v>0.89284350172634253</v>
      </c>
      <c r="I8">
        <f t="shared" si="3"/>
        <v>0.86253792168747212</v>
      </c>
      <c r="J8">
        <f t="shared" si="4"/>
        <v>83.944113041979918</v>
      </c>
      <c r="K8" s="3">
        <f t="shared" si="5"/>
        <v>16.879369371506669</v>
      </c>
    </row>
    <row r="9" spans="1:13" x14ac:dyDescent="0.25">
      <c r="A9" s="3">
        <v>100</v>
      </c>
      <c r="B9" s="3">
        <f>B10-5</f>
        <v>90</v>
      </c>
      <c r="C9" s="3">
        <v>0.25</v>
      </c>
      <c r="D9" s="5">
        <v>0.05</v>
      </c>
      <c r="E9" s="3">
        <v>0.3</v>
      </c>
      <c r="F9">
        <f t="shared" si="0"/>
        <v>0.86073677105217572</v>
      </c>
      <c r="G9">
        <f t="shared" si="1"/>
        <v>0.7107367710521757</v>
      </c>
      <c r="H9">
        <f t="shared" si="2"/>
        <v>0.80530848195522375</v>
      </c>
      <c r="I9">
        <f t="shared" si="3"/>
        <v>0.7613763155918325</v>
      </c>
      <c r="J9">
        <f t="shared" si="4"/>
        <v>88.882002044449337</v>
      </c>
      <c r="K9" s="3">
        <f t="shared" si="5"/>
        <v>12.858196956493828</v>
      </c>
    </row>
    <row r="10" spans="1:13" x14ac:dyDescent="0.25">
      <c r="A10" s="3">
        <v>100</v>
      </c>
      <c r="B10" s="3">
        <f>B11-5</f>
        <v>95</v>
      </c>
      <c r="C10" s="3">
        <v>0.25</v>
      </c>
      <c r="D10" s="5">
        <v>0.05</v>
      </c>
      <c r="E10" s="3">
        <v>0.3</v>
      </c>
      <c r="F10">
        <f t="shared" si="0"/>
        <v>0.50028862925033657</v>
      </c>
      <c r="G10">
        <f t="shared" si="1"/>
        <v>0.35028862925033655</v>
      </c>
      <c r="H10">
        <f t="shared" si="2"/>
        <v>0.69156407029192579</v>
      </c>
      <c r="I10">
        <f t="shared" si="3"/>
        <v>0.63693895104381071</v>
      </c>
      <c r="J10">
        <f t="shared" si="4"/>
        <v>93.819891046918741</v>
      </c>
      <c r="K10" s="3">
        <f t="shared" si="5"/>
        <v>9.3988640387235449</v>
      </c>
    </row>
    <row r="11" spans="1:13" x14ac:dyDescent="0.25">
      <c r="A11" s="3">
        <v>100</v>
      </c>
      <c r="B11" s="3">
        <v>100</v>
      </c>
      <c r="C11" s="3">
        <v>0.25</v>
      </c>
      <c r="D11" s="5">
        <v>0.05</v>
      </c>
      <c r="E11" s="3">
        <v>0.3</v>
      </c>
      <c r="F11">
        <f t="shared" si="0"/>
        <v>0.15833333333333335</v>
      </c>
      <c r="G11">
        <f t="shared" si="1"/>
        <v>8.3333333333333592E-3</v>
      </c>
      <c r="H11">
        <f t="shared" si="2"/>
        <v>0.56290292839204015</v>
      </c>
      <c r="I11">
        <f t="shared" si="3"/>
        <v>0.50332448052551682</v>
      </c>
      <c r="J11">
        <f t="shared" si="4"/>
        <v>98.757780049388145</v>
      </c>
      <c r="K11" s="3">
        <f t="shared" si="5"/>
        <v>6.5830844979924805</v>
      </c>
    </row>
    <row r="12" spans="1:13" x14ac:dyDescent="0.25">
      <c r="A12" s="3">
        <v>100</v>
      </c>
      <c r="B12" s="3">
        <f>B11+5</f>
        <v>105</v>
      </c>
      <c r="C12" s="3">
        <v>0.25</v>
      </c>
      <c r="D12" s="5">
        <v>0.05</v>
      </c>
      <c r="E12" s="3">
        <v>0.3</v>
      </c>
      <c r="F12">
        <f t="shared" si="0"/>
        <v>-0.1669344277962137</v>
      </c>
      <c r="G12">
        <f t="shared" si="1"/>
        <v>-0.31693442779621372</v>
      </c>
      <c r="H12">
        <f t="shared" si="2"/>
        <v>0.43371082187819998</v>
      </c>
      <c r="I12">
        <f t="shared" si="3"/>
        <v>0.37564667901159438</v>
      </c>
      <c r="J12">
        <f t="shared" si="4"/>
        <v>103.69566905185755</v>
      </c>
      <c r="K12" s="3">
        <f t="shared" si="5"/>
        <v>4.4181484806043443</v>
      </c>
    </row>
    <row r="13" spans="1:13" x14ac:dyDescent="0.25">
      <c r="A13" s="3">
        <v>100</v>
      </c>
      <c r="B13" s="3">
        <f t="shared" ref="B13:B14" si="6">B12+5</f>
        <v>110</v>
      </c>
      <c r="C13" s="3">
        <v>0.25</v>
      </c>
      <c r="D13" s="5">
        <v>0.05</v>
      </c>
      <c r="E13" s="3">
        <v>0.3</v>
      </c>
      <c r="F13">
        <f t="shared" si="0"/>
        <v>-0.47706786536216594</v>
      </c>
      <c r="G13">
        <f t="shared" si="1"/>
        <v>-0.62706786536216597</v>
      </c>
      <c r="H13">
        <f t="shared" si="2"/>
        <v>0.3166568982053235</v>
      </c>
      <c r="I13">
        <f t="shared" si="3"/>
        <v>0.26530737515489833</v>
      </c>
      <c r="J13">
        <f t="shared" si="4"/>
        <v>108.63355805432695</v>
      </c>
      <c r="K13" s="3">
        <f t="shared" si="5"/>
        <v>2.8444056794016035</v>
      </c>
    </row>
    <row r="14" spans="1:13" x14ac:dyDescent="0.25">
      <c r="A14" s="3">
        <v>100</v>
      </c>
      <c r="B14" s="3">
        <f t="shared" si="6"/>
        <v>115</v>
      </c>
      <c r="C14" s="3">
        <v>0.25</v>
      </c>
      <c r="D14" s="5">
        <v>0.05</v>
      </c>
      <c r="E14" s="3">
        <v>0.3</v>
      </c>
      <c r="F14">
        <f t="shared" si="0"/>
        <v>-0.77341294916772496</v>
      </c>
      <c r="G14">
        <f t="shared" si="1"/>
        <v>-0.92341294916772498</v>
      </c>
      <c r="H14">
        <f t="shared" si="2"/>
        <v>0.21963901441595712</v>
      </c>
      <c r="I14">
        <f t="shared" si="3"/>
        <v>0.17789602303256591</v>
      </c>
      <c r="J14">
        <f t="shared" si="4"/>
        <v>113.57144705679636</v>
      </c>
      <c r="K14" s="3">
        <f t="shared" si="5"/>
        <v>1.7599926801380263</v>
      </c>
    </row>
    <row r="16" spans="1:13" x14ac:dyDescent="0.25">
      <c r="A16" s="3">
        <v>100</v>
      </c>
      <c r="B16" s="3">
        <v>100</v>
      </c>
      <c r="C16" s="3">
        <v>0.25</v>
      </c>
      <c r="D16" s="5">
        <v>0.05</v>
      </c>
      <c r="E16" s="3">
        <f>E17-0.05</f>
        <v>0.10000000000000002</v>
      </c>
      <c r="F16">
        <f>(LN(A16/B16)+(D16+0.5*E16^2)*C16)/(E16*SQRT(C16))</f>
        <v>0.27499999999999997</v>
      </c>
      <c r="G16">
        <f>F16-E16*SQRT(C16)</f>
        <v>0.22499999999999995</v>
      </c>
      <c r="H16">
        <f>NORMSDIST(F16)</f>
        <v>0.60834188084639473</v>
      </c>
      <c r="I16">
        <f>NORMSDIST(G16)</f>
        <v>0.58901036286872954</v>
      </c>
      <c r="J16">
        <f>B16*EXP(-D16*C16)</f>
        <v>98.757780049388145</v>
      </c>
      <c r="K16" s="3">
        <f>H16*A16-J16*I16</f>
        <v>2.6648322216391804</v>
      </c>
    </row>
    <row r="17" spans="1:11" x14ac:dyDescent="0.25">
      <c r="A17" s="3">
        <v>100</v>
      </c>
      <c r="B17" s="3">
        <v>100</v>
      </c>
      <c r="C17" s="3">
        <v>0.25</v>
      </c>
      <c r="D17" s="5">
        <v>0.05</v>
      </c>
      <c r="E17" s="3">
        <f>E18-0.05</f>
        <v>0.15000000000000002</v>
      </c>
      <c r="F17">
        <f t="shared" ref="F17:F24" si="7">(LN(A17/B17)+(D17+0.5*E17^2)*C17)/(E17*SQRT(C17))</f>
        <v>0.20416666666666666</v>
      </c>
      <c r="G17">
        <f t="shared" ref="G17:G24" si="8">F17-E17*SQRT(C17)</f>
        <v>0.12916666666666665</v>
      </c>
      <c r="H17">
        <f t="shared" ref="H17:H24" si="9">NORMSDIST(F17)</f>
        <v>0.58088837058072973</v>
      </c>
      <c r="I17">
        <f t="shared" ref="I17:I24" si="10">NORMSDIST(G17)</f>
        <v>0.5513871143184228</v>
      </c>
      <c r="J17">
        <f t="shared" ref="J17:J24" si="11">B17*EXP(-D17*C17)</f>
        <v>98.757780049388145</v>
      </c>
      <c r="K17" s="3">
        <f t="shared" ref="K17:K24" si="12">H17*A17-J17*I17</f>
        <v>3.6350697001473407</v>
      </c>
    </row>
    <row r="18" spans="1:11" x14ac:dyDescent="0.25">
      <c r="A18" s="3">
        <v>100</v>
      </c>
      <c r="B18" s="3">
        <v>100</v>
      </c>
      <c r="C18" s="3">
        <v>0.25</v>
      </c>
      <c r="D18" s="5">
        <v>0.05</v>
      </c>
      <c r="E18" s="3">
        <f>E19-0.05</f>
        <v>0.2</v>
      </c>
      <c r="F18">
        <f t="shared" si="7"/>
        <v>0.17500000000000002</v>
      </c>
      <c r="G18">
        <f t="shared" si="8"/>
        <v>7.5000000000000011E-2</v>
      </c>
      <c r="H18">
        <f t="shared" si="9"/>
        <v>0.56946018320767378</v>
      </c>
      <c r="I18">
        <f t="shared" si="10"/>
        <v>0.52989264405289482</v>
      </c>
      <c r="J18">
        <f t="shared" si="11"/>
        <v>98.757780049388145</v>
      </c>
      <c r="K18" s="3">
        <f t="shared" si="12"/>
        <v>4.6149971296028696</v>
      </c>
    </row>
    <row r="19" spans="1:11" x14ac:dyDescent="0.25">
      <c r="A19" s="3">
        <v>100</v>
      </c>
      <c r="B19" s="3">
        <v>100</v>
      </c>
      <c r="C19" s="3">
        <v>0.25</v>
      </c>
      <c r="D19" s="5">
        <v>0.05</v>
      </c>
      <c r="E19" s="3">
        <f>E20-0.05</f>
        <v>0.25</v>
      </c>
      <c r="F19">
        <f t="shared" si="7"/>
        <v>0.16250000000000001</v>
      </c>
      <c r="G19">
        <f t="shared" si="8"/>
        <v>3.7500000000000006E-2</v>
      </c>
      <c r="H19">
        <f t="shared" si="9"/>
        <v>0.56454393586203844</v>
      </c>
      <c r="I19">
        <f t="shared" si="10"/>
        <v>0.51495682992590974</v>
      </c>
      <c r="J19">
        <f t="shared" si="11"/>
        <v>98.757780049388145</v>
      </c>
      <c r="K19" s="3">
        <f t="shared" si="12"/>
        <v>5.5984002414506691</v>
      </c>
    </row>
    <row r="20" spans="1:11" x14ac:dyDescent="0.25">
      <c r="A20" s="3">
        <v>100</v>
      </c>
      <c r="B20" s="3">
        <v>100</v>
      </c>
      <c r="C20" s="3">
        <v>0.25</v>
      </c>
      <c r="D20" s="5">
        <v>0.05</v>
      </c>
      <c r="E20" s="3">
        <v>0.3</v>
      </c>
      <c r="F20">
        <f t="shared" si="7"/>
        <v>0.15833333333333335</v>
      </c>
      <c r="G20">
        <f t="shared" si="8"/>
        <v>8.3333333333333592E-3</v>
      </c>
      <c r="H20">
        <f t="shared" si="9"/>
        <v>0.56290292839204015</v>
      </c>
      <c r="I20">
        <f t="shared" si="10"/>
        <v>0.50332448052551682</v>
      </c>
      <c r="J20">
        <f t="shared" si="11"/>
        <v>98.757780049388145</v>
      </c>
      <c r="K20" s="3">
        <f t="shared" si="12"/>
        <v>6.5830844979924805</v>
      </c>
    </row>
    <row r="21" spans="1:11" x14ac:dyDescent="0.25">
      <c r="A21" s="3">
        <v>100</v>
      </c>
      <c r="B21" s="3">
        <v>100</v>
      </c>
      <c r="C21" s="3">
        <v>0.25</v>
      </c>
      <c r="D21" s="5">
        <v>0.05</v>
      </c>
      <c r="E21" s="3">
        <f>E20+0.05</f>
        <v>0.35</v>
      </c>
      <c r="F21">
        <f t="shared" si="7"/>
        <v>0.15892857142857142</v>
      </c>
      <c r="G21">
        <f t="shared" si="8"/>
        <v>-1.607142857142857E-2</v>
      </c>
      <c r="H21">
        <f t="shared" si="9"/>
        <v>0.5631374249825658</v>
      </c>
      <c r="I21">
        <f t="shared" si="10"/>
        <v>0.49358870363408891</v>
      </c>
      <c r="J21">
        <f t="shared" si="11"/>
        <v>98.757780049388145</v>
      </c>
      <c r="K21" s="3">
        <f t="shared" si="12"/>
        <v>7.5680178698985969</v>
      </c>
    </row>
    <row r="22" spans="1:11" x14ac:dyDescent="0.25">
      <c r="A22" s="3">
        <v>100</v>
      </c>
      <c r="B22" s="3">
        <v>100</v>
      </c>
      <c r="C22" s="3">
        <v>0.25</v>
      </c>
      <c r="D22" s="5">
        <v>0.05</v>
      </c>
      <c r="E22" s="3">
        <f t="shared" ref="E22:E24" si="13">E21+0.05</f>
        <v>0.39999999999999997</v>
      </c>
      <c r="F22">
        <f t="shared" si="7"/>
        <v>0.16250000000000001</v>
      </c>
      <c r="G22">
        <f t="shared" si="8"/>
        <v>-3.7499999999999978E-2</v>
      </c>
      <c r="H22">
        <f t="shared" si="9"/>
        <v>0.56454393586203844</v>
      </c>
      <c r="I22">
        <f t="shared" si="10"/>
        <v>0.4850431700740902</v>
      </c>
      <c r="J22">
        <f t="shared" si="11"/>
        <v>98.757780049388145</v>
      </c>
      <c r="K22" s="3">
        <f t="shared" si="12"/>
        <v>8.5526068815688774</v>
      </c>
    </row>
    <row r="23" spans="1:11" x14ac:dyDescent="0.25">
      <c r="A23" s="3">
        <v>100</v>
      </c>
      <c r="B23" s="3">
        <v>100</v>
      </c>
      <c r="C23" s="3">
        <v>0.25</v>
      </c>
      <c r="D23" s="5">
        <v>0.05</v>
      </c>
      <c r="E23" s="3">
        <f t="shared" si="13"/>
        <v>0.44999999999999996</v>
      </c>
      <c r="F23">
        <f t="shared" si="7"/>
        <v>0.16805555555555557</v>
      </c>
      <c r="G23">
        <f t="shared" si="8"/>
        <v>-5.6944444444444409E-2</v>
      </c>
      <c r="H23">
        <f t="shared" si="9"/>
        <v>0.56673021324443362</v>
      </c>
      <c r="I23">
        <f t="shared" si="10"/>
        <v>0.47729472509111859</v>
      </c>
      <c r="J23">
        <f t="shared" si="11"/>
        <v>98.757780049388145</v>
      </c>
      <c r="K23" s="3">
        <f t="shared" si="12"/>
        <v>9.5364538451614891</v>
      </c>
    </row>
    <row r="24" spans="1:11" x14ac:dyDescent="0.25">
      <c r="A24" s="3">
        <v>100</v>
      </c>
      <c r="B24" s="3">
        <v>100</v>
      </c>
      <c r="C24" s="3">
        <v>0.25</v>
      </c>
      <c r="D24" s="5">
        <v>0.05</v>
      </c>
      <c r="E24" s="3">
        <f t="shared" si="13"/>
        <v>0.49999999999999994</v>
      </c>
      <c r="F24">
        <f t="shared" si="7"/>
        <v>0.17500000000000002</v>
      </c>
      <c r="G24">
        <f t="shared" si="8"/>
        <v>-7.4999999999999956E-2</v>
      </c>
      <c r="H24">
        <f t="shared" si="9"/>
        <v>0.56946018320767378</v>
      </c>
      <c r="I24">
        <f t="shared" si="10"/>
        <v>0.47010735594710523</v>
      </c>
      <c r="J24">
        <f t="shared" si="11"/>
        <v>98.757780049388145</v>
      </c>
      <c r="K24" s="3">
        <f t="shared" si="12"/>
        <v>10.519259462543737</v>
      </c>
    </row>
    <row r="26" spans="1:11" x14ac:dyDescent="0.25">
      <c r="A26" s="3">
        <v>100</v>
      </c>
      <c r="B26" s="3">
        <v>100</v>
      </c>
      <c r="C26" s="3">
        <f t="shared" ref="C26:C29" si="14">C27-0.05</f>
        <v>5.0000000000000017E-2</v>
      </c>
      <c r="D26" s="5">
        <v>0.05</v>
      </c>
      <c r="E26" s="3">
        <f>E27-0.05</f>
        <v>0.10000000000000002</v>
      </c>
      <c r="F26">
        <f>(LN(A26/B26)+(D26+0.5*E26^2)*C26)/(E26*SQRT(C26))</f>
        <v>0.12298373876248843</v>
      </c>
      <c r="G26">
        <f>F26-E26*SQRT(C26)</f>
        <v>0.10062305898749052</v>
      </c>
      <c r="H26">
        <f>NORMSDIST(F26)</f>
        <v>0.54894001260282776</v>
      </c>
      <c r="I26">
        <f>NORMSDIST(G26)</f>
        <v>0.54007515440860199</v>
      </c>
      <c r="J26">
        <f>B26*EXP(-D26*C26)</f>
        <v>99.750312239746009</v>
      </c>
      <c r="K26" s="3">
        <f>H26*A26-J26*I26</f>
        <v>1.0213359750956883</v>
      </c>
    </row>
    <row r="27" spans="1:11" x14ac:dyDescent="0.25">
      <c r="A27" s="3">
        <v>100</v>
      </c>
      <c r="B27" s="3">
        <v>100</v>
      </c>
      <c r="C27" s="3">
        <f t="shared" si="14"/>
        <v>0.10000000000000002</v>
      </c>
      <c r="D27" s="5">
        <v>0.05</v>
      </c>
      <c r="E27" s="3">
        <f>E28-0.05</f>
        <v>0.15000000000000002</v>
      </c>
      <c r="F27">
        <f t="shared" ref="F27:F34" si="15">(LN(A27/B27)+(D27+0.5*E27^2)*C27)/(E27*SQRT(C27))</f>
        <v>0.12912633779020882</v>
      </c>
      <c r="G27">
        <f t="shared" ref="G27:G34" si="16">F27-E27*SQRT(C27)</f>
        <v>8.1692172887683129E-2</v>
      </c>
      <c r="H27">
        <f t="shared" ref="H27:H34" si="17">NORMSDIST(F27)</f>
        <v>0.5513711590384538</v>
      </c>
      <c r="I27">
        <f t="shared" ref="I27:I34" si="18">NORMSDIST(G27)</f>
        <v>0.53255424865645362</v>
      </c>
      <c r="J27">
        <f t="shared" ref="J27:J34" si="19">B27*EXP(-D27*C27)</f>
        <v>99.501247919268238</v>
      </c>
      <c r="K27" s="3">
        <f t="shared" ref="K27:K34" si="20">H27*A27-J27*I27</f>
        <v>2.1473035778199616</v>
      </c>
    </row>
    <row r="28" spans="1:11" x14ac:dyDescent="0.25">
      <c r="A28" s="3">
        <v>100</v>
      </c>
      <c r="B28" s="3">
        <v>100</v>
      </c>
      <c r="C28" s="3">
        <f t="shared" si="14"/>
        <v>0.15000000000000002</v>
      </c>
      <c r="D28" s="5">
        <v>0.05</v>
      </c>
      <c r="E28" s="3">
        <f>E29-0.05</f>
        <v>0.2</v>
      </c>
      <c r="F28">
        <f t="shared" si="15"/>
        <v>0.1355544171172596</v>
      </c>
      <c r="G28">
        <f t="shared" si="16"/>
        <v>5.809475019311125E-2</v>
      </c>
      <c r="H28">
        <f t="shared" si="17"/>
        <v>0.55391322869888837</v>
      </c>
      <c r="I28">
        <f t="shared" si="18"/>
        <v>0.52316342196427912</v>
      </c>
      <c r="J28">
        <f t="shared" si="19"/>
        <v>99.252805481913839</v>
      </c>
      <c r="K28" s="3">
        <f t="shared" si="20"/>
        <v>3.4658855144158309</v>
      </c>
    </row>
    <row r="29" spans="1:11" x14ac:dyDescent="0.25">
      <c r="A29" s="3">
        <v>100</v>
      </c>
      <c r="B29" s="3">
        <v>100</v>
      </c>
      <c r="C29" s="3">
        <f>C30-0.05</f>
        <v>0.2</v>
      </c>
      <c r="D29" s="5">
        <v>0.05</v>
      </c>
      <c r="E29" s="3">
        <f>E30-0.05</f>
        <v>0.25</v>
      </c>
      <c r="F29">
        <f t="shared" si="15"/>
        <v>0.14534441853748634</v>
      </c>
      <c r="G29">
        <f t="shared" si="16"/>
        <v>3.3541019662496854E-2</v>
      </c>
      <c r="H29">
        <f t="shared" si="17"/>
        <v>0.5577805269395173</v>
      </c>
      <c r="I29">
        <f t="shared" si="18"/>
        <v>0.51337842236993181</v>
      </c>
      <c r="J29">
        <f t="shared" si="19"/>
        <v>99.004983374916804</v>
      </c>
      <c r="K29" s="3">
        <f t="shared" si="20"/>
        <v>4.9510305221756141</v>
      </c>
    </row>
    <row r="30" spans="1:11" x14ac:dyDescent="0.25">
      <c r="A30" s="3">
        <v>100</v>
      </c>
      <c r="B30" s="3">
        <v>100</v>
      </c>
      <c r="C30" s="3">
        <v>0.25</v>
      </c>
      <c r="D30" s="5">
        <v>0.05</v>
      </c>
      <c r="E30" s="3">
        <v>0.3</v>
      </c>
      <c r="F30">
        <f t="shared" si="15"/>
        <v>0.15833333333333335</v>
      </c>
      <c r="G30">
        <f t="shared" si="16"/>
        <v>8.3333333333333592E-3</v>
      </c>
      <c r="H30">
        <f t="shared" si="17"/>
        <v>0.56290292839204015</v>
      </c>
      <c r="I30">
        <f t="shared" si="18"/>
        <v>0.50332448052551682</v>
      </c>
      <c r="J30">
        <f t="shared" si="19"/>
        <v>98.757780049388145</v>
      </c>
      <c r="K30" s="3">
        <f t="shared" si="20"/>
        <v>6.5830844979924805</v>
      </c>
    </row>
    <row r="31" spans="1:11" x14ac:dyDescent="0.25">
      <c r="A31" s="3">
        <v>100</v>
      </c>
      <c r="B31" s="3">
        <v>100</v>
      </c>
      <c r="C31" s="3">
        <f>C30+0.05</f>
        <v>0.3</v>
      </c>
      <c r="D31" s="5">
        <v>0.05</v>
      </c>
      <c r="E31" s="3">
        <f>E30+0.05</f>
        <v>0.35</v>
      </c>
      <c r="F31">
        <f t="shared" si="15"/>
        <v>0.17409752720699923</v>
      </c>
      <c r="G31">
        <f t="shared" si="16"/>
        <v>-1.7605367919808879E-2</v>
      </c>
      <c r="H31">
        <f t="shared" si="17"/>
        <v>0.56910559173630082</v>
      </c>
      <c r="I31">
        <f t="shared" si="18"/>
        <v>0.49297683718033081</v>
      </c>
      <c r="J31">
        <f t="shared" si="19"/>
        <v>98.511193960306258</v>
      </c>
      <c r="K31" s="3">
        <f t="shared" si="20"/>
        <v>8.3468223482202006</v>
      </c>
    </row>
    <row r="32" spans="1:11" x14ac:dyDescent="0.25">
      <c r="A32" s="3">
        <v>100</v>
      </c>
      <c r="B32" s="3">
        <v>100</v>
      </c>
      <c r="C32" s="3">
        <f t="shared" ref="C32:C34" si="21">C31+0.05</f>
        <v>0.35</v>
      </c>
      <c r="D32" s="5">
        <v>0.05</v>
      </c>
      <c r="E32" s="3">
        <f t="shared" ref="E32:E34" si="22">E31+0.05</f>
        <v>0.39999999999999997</v>
      </c>
      <c r="F32">
        <f t="shared" si="15"/>
        <v>0.19227259295073754</v>
      </c>
      <c r="G32">
        <f t="shared" si="16"/>
        <v>-4.4370598373247083E-2</v>
      </c>
      <c r="H32">
        <f t="shared" si="17"/>
        <v>0.57623565724698755</v>
      </c>
      <c r="I32">
        <f t="shared" si="18"/>
        <v>0.48230449882894466</v>
      </c>
      <c r="J32">
        <f t="shared" si="19"/>
        <v>98.265223566507316</v>
      </c>
      <c r="K32" s="3">
        <f t="shared" si="20"/>
        <v>10.229806320140241</v>
      </c>
    </row>
    <row r="33" spans="1:11" x14ac:dyDescent="0.25">
      <c r="A33" s="3">
        <v>100</v>
      </c>
      <c r="B33" s="3">
        <v>100</v>
      </c>
      <c r="C33" s="3">
        <f t="shared" si="21"/>
        <v>0.39999999999999997</v>
      </c>
      <c r="D33" s="5">
        <v>0.05</v>
      </c>
      <c r="E33" s="3">
        <f t="shared" si="22"/>
        <v>0.44999999999999996</v>
      </c>
      <c r="F33">
        <f t="shared" si="15"/>
        <v>0.21257533160020772</v>
      </c>
      <c r="G33">
        <f t="shared" si="16"/>
        <v>-7.2029657814946385E-2</v>
      </c>
      <c r="H33">
        <f t="shared" si="17"/>
        <v>0.58417089289751867</v>
      </c>
      <c r="I33">
        <f t="shared" si="18"/>
        <v>0.4712891528108446</v>
      </c>
      <c r="J33">
        <f t="shared" si="19"/>
        <v>98.019867330675524</v>
      </c>
      <c r="K33" s="3">
        <f t="shared" si="20"/>
        <v>12.221389056846412</v>
      </c>
    </row>
    <row r="34" spans="1:11" x14ac:dyDescent="0.25">
      <c r="A34" s="3">
        <v>100</v>
      </c>
      <c r="B34" s="3">
        <v>100</v>
      </c>
      <c r="C34" s="3">
        <f t="shared" si="21"/>
        <v>0.44999999999999996</v>
      </c>
      <c r="D34" s="5">
        <v>0.05</v>
      </c>
      <c r="E34" s="3">
        <f t="shared" si="22"/>
        <v>0.49999999999999994</v>
      </c>
      <c r="F34">
        <f t="shared" si="15"/>
        <v>0.23478713763747791</v>
      </c>
      <c r="G34">
        <f t="shared" si="16"/>
        <v>-0.10062305898749049</v>
      </c>
      <c r="H34">
        <f t="shared" si="17"/>
        <v>0.59281302429804061</v>
      </c>
      <c r="I34">
        <f t="shared" si="18"/>
        <v>0.45992484559139807</v>
      </c>
      <c r="J34">
        <f t="shared" si="19"/>
        <v>97.775123719333635</v>
      </c>
      <c r="K34" s="3">
        <f t="shared" si="20"/>
        <v>14.312093750509696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Nemmara Chidambaran</dc:creator>
  <cp:lastModifiedBy>Nemmara Chidambaran</cp:lastModifiedBy>
  <dcterms:created xsi:type="dcterms:W3CDTF">2025-06-12T02:18:07Z</dcterms:created>
  <dcterms:modified xsi:type="dcterms:W3CDTF">2025-10-07T15:20:53Z</dcterms:modified>
</cp:coreProperties>
</file>